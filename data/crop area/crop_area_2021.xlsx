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 Area Data by Mandal" sheetId="1" r:id="rId5"/>
    <sheet state="visible" name="Copy of Crop Area Data by Manda" sheetId="2" r:id="rId6"/>
  </sheets>
  <definedNames/>
  <calcPr/>
</workbook>
</file>

<file path=xl/sharedStrings.xml><?xml version="1.0" encoding="utf-8"?>
<sst xmlns="http://schemas.openxmlformats.org/spreadsheetml/2006/main" count="80" uniqueCount="47">
  <si>
    <t>Mandal Name</t>
  </si>
  <si>
    <t>Paddy (ha)</t>
  </si>
  <si>
    <t>Pulses (ha)</t>
  </si>
  <si>
    <t>Cotton (ha)</t>
  </si>
  <si>
    <t>Sugarcane (ha)</t>
  </si>
  <si>
    <t>Kangti</t>
  </si>
  <si>
    <t>Sirgapoor</t>
  </si>
  <si>
    <t>Nagalgidda</t>
  </si>
  <si>
    <t>Kalher</t>
  </si>
  <si>
    <t>Narayankhed</t>
  </si>
  <si>
    <t>Manoor</t>
  </si>
  <si>
    <t>Nyalkal</t>
  </si>
  <si>
    <t>Zahirabad</t>
  </si>
  <si>
    <t>Mogudampally</t>
  </si>
  <si>
    <t>Kohir</t>
  </si>
  <si>
    <t>Jharasangam</t>
  </si>
  <si>
    <t>Raikode</t>
  </si>
  <si>
    <t>Vatpally</t>
  </si>
  <si>
    <t>Munipally</t>
  </si>
  <si>
    <t>Andole</t>
  </si>
  <si>
    <t>Pulkal</t>
  </si>
  <si>
    <t>Sadasivpet</t>
  </si>
  <si>
    <t>Kondapur</t>
  </si>
  <si>
    <t>Sangareddy</t>
  </si>
  <si>
    <t>Hathnoora</t>
  </si>
  <si>
    <t>Kandi</t>
  </si>
  <si>
    <t>Patancheruvu</t>
  </si>
  <si>
    <t>Jinnaram</t>
  </si>
  <si>
    <t>Gummadidala</t>
  </si>
  <si>
    <t>Ameenpur</t>
  </si>
  <si>
    <t>Ramachandrapuram</t>
  </si>
  <si>
    <t>Choutkur</t>
  </si>
  <si>
    <t>Paddy MCM</t>
  </si>
  <si>
    <t>Pulses MCM</t>
  </si>
  <si>
    <t>Cotton MCM</t>
  </si>
  <si>
    <t>Sugarcane MCM</t>
  </si>
  <si>
    <t>Total MCM</t>
  </si>
  <si>
    <t>Total Paddy (ha)</t>
  </si>
  <si>
    <t>Total Pulses (ha)</t>
  </si>
  <si>
    <t>Total Cotton (ha)</t>
  </si>
  <si>
    <t>Total Sugarcane (ha)</t>
  </si>
  <si>
    <t>Crop</t>
  </si>
  <si>
    <t>MCM</t>
  </si>
  <si>
    <t>Paddy</t>
  </si>
  <si>
    <t>Pulses</t>
  </si>
  <si>
    <t>Cotton</t>
  </si>
  <si>
    <t>Sugarcane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</si>
</sst>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Cambr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3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1" numFmtId="2" xfId="0" applyAlignment="1" applyFont="1" applyNumberFormat="1">
      <alignment horizontal="left"/>
    </xf>
    <xf borderId="0" fillId="0" fontId="1" numFmtId="3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1.88"/>
    <col customWidth="1" min="3" max="3" width="10.63"/>
    <col customWidth="1" min="4" max="4" width="10.8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1" t="s">
        <v>5</v>
      </c>
      <c r="B2" s="3">
        <v>6050.0</v>
      </c>
      <c r="C2" s="3">
        <v>5850.0</v>
      </c>
      <c r="D2" s="3">
        <v>3120.0</v>
      </c>
      <c r="E2" s="1">
        <v>120.0</v>
      </c>
      <c r="F2" s="2"/>
    </row>
    <row r="3">
      <c r="A3" s="1" t="s">
        <v>6</v>
      </c>
      <c r="B3" s="3">
        <v>3850.0</v>
      </c>
      <c r="C3" s="3">
        <v>4210.0</v>
      </c>
      <c r="D3" s="3">
        <v>2450.0</v>
      </c>
      <c r="E3" s="1">
        <v>90.0</v>
      </c>
      <c r="F3" s="2"/>
    </row>
    <row r="4">
      <c r="A4" s="1" t="s">
        <v>7</v>
      </c>
      <c r="B4" s="3">
        <v>2150.0</v>
      </c>
      <c r="C4" s="3">
        <v>5120.0</v>
      </c>
      <c r="D4" s="3">
        <v>3450.0</v>
      </c>
      <c r="E4" s="1">
        <v>110.0</v>
      </c>
      <c r="F4" s="2"/>
    </row>
    <row r="5">
      <c r="A5" s="1" t="s">
        <v>8</v>
      </c>
      <c r="B5" s="3">
        <v>4890.0</v>
      </c>
      <c r="C5" s="3">
        <v>4210.0</v>
      </c>
      <c r="D5" s="3">
        <v>2850.0</v>
      </c>
      <c r="E5" s="1">
        <v>80.0</v>
      </c>
      <c r="F5" s="2"/>
    </row>
    <row r="6">
      <c r="A6" s="1" t="s">
        <v>9</v>
      </c>
      <c r="B6" s="3">
        <v>4120.0</v>
      </c>
      <c r="C6" s="3">
        <v>8450.0</v>
      </c>
      <c r="D6" s="3">
        <v>9120.0</v>
      </c>
      <c r="E6" s="1">
        <v>450.0</v>
      </c>
      <c r="F6" s="2"/>
    </row>
    <row r="7">
      <c r="A7" s="1" t="s">
        <v>10</v>
      </c>
      <c r="B7" s="3">
        <v>2150.0</v>
      </c>
      <c r="C7" s="3">
        <v>6450.0</v>
      </c>
      <c r="D7" s="3">
        <v>4850.0</v>
      </c>
      <c r="E7" s="1">
        <v>250.0</v>
      </c>
      <c r="F7" s="2"/>
    </row>
    <row r="8">
      <c r="A8" s="1" t="s">
        <v>11</v>
      </c>
      <c r="B8" s="1">
        <v>850.0</v>
      </c>
      <c r="C8" s="3">
        <v>5120.0</v>
      </c>
      <c r="D8" s="3">
        <v>6450.0</v>
      </c>
      <c r="E8" s="3">
        <v>5120.0</v>
      </c>
      <c r="F8" s="2"/>
    </row>
    <row r="9">
      <c r="A9" s="1" t="s">
        <v>12</v>
      </c>
      <c r="B9" s="3">
        <v>1120.0</v>
      </c>
      <c r="C9" s="3">
        <v>6120.0</v>
      </c>
      <c r="D9" s="3">
        <v>8850.0</v>
      </c>
      <c r="E9" s="3">
        <v>12450.0</v>
      </c>
      <c r="F9" s="2"/>
    </row>
    <row r="10">
      <c r="A10" s="1" t="s">
        <v>13</v>
      </c>
      <c r="B10" s="3">
        <v>1120.0</v>
      </c>
      <c r="C10" s="3">
        <v>3850.0</v>
      </c>
      <c r="D10" s="3">
        <v>6450.0</v>
      </c>
      <c r="E10" s="3">
        <v>3850.0</v>
      </c>
      <c r="F10" s="2"/>
    </row>
    <row r="11">
      <c r="A11" s="1" t="s">
        <v>14</v>
      </c>
      <c r="B11" s="1">
        <v>850.0</v>
      </c>
      <c r="C11" s="3">
        <v>4210.0</v>
      </c>
      <c r="D11" s="3">
        <v>5450.0</v>
      </c>
      <c r="E11" s="3">
        <v>2120.0</v>
      </c>
      <c r="F11" s="2"/>
    </row>
    <row r="12">
      <c r="A12" s="1" t="s">
        <v>15</v>
      </c>
      <c r="B12" s="3">
        <v>1120.0</v>
      </c>
      <c r="C12" s="3">
        <v>4120.0</v>
      </c>
      <c r="D12" s="3">
        <v>5210.0</v>
      </c>
      <c r="E12" s="3">
        <v>1850.0</v>
      </c>
      <c r="F12" s="2"/>
    </row>
    <row r="13">
      <c r="A13" s="1" t="s">
        <v>16</v>
      </c>
      <c r="B13" s="3">
        <v>1850.0</v>
      </c>
      <c r="C13" s="3">
        <v>6120.0</v>
      </c>
      <c r="D13" s="3">
        <v>5120.0</v>
      </c>
      <c r="E13" s="1">
        <v>450.0</v>
      </c>
      <c r="F13" s="2"/>
    </row>
    <row r="14">
      <c r="A14" s="1" t="s">
        <v>17</v>
      </c>
      <c r="B14" s="3">
        <v>1120.0</v>
      </c>
      <c r="C14" s="3">
        <v>3120.0</v>
      </c>
      <c r="D14" s="3">
        <v>3850.0</v>
      </c>
      <c r="E14" s="1">
        <v>150.0</v>
      </c>
      <c r="F14" s="2"/>
    </row>
    <row r="15">
      <c r="A15" s="1" t="s">
        <v>18</v>
      </c>
      <c r="B15" s="3">
        <v>2450.0</v>
      </c>
      <c r="C15" s="3">
        <v>4850.0</v>
      </c>
      <c r="D15" s="3">
        <v>5120.0</v>
      </c>
      <c r="E15" s="1">
        <v>450.0</v>
      </c>
      <c r="F15" s="2"/>
    </row>
    <row r="16">
      <c r="A16" s="1" t="s">
        <v>19</v>
      </c>
      <c r="B16" s="3">
        <v>6120.0</v>
      </c>
      <c r="C16" s="3">
        <v>2850.0</v>
      </c>
      <c r="D16" s="3">
        <v>4210.0</v>
      </c>
      <c r="E16" s="1">
        <v>850.0</v>
      </c>
      <c r="F16" s="2"/>
    </row>
    <row r="17">
      <c r="A17" s="1" t="s">
        <v>20</v>
      </c>
      <c r="B17" s="3">
        <v>2813.0</v>
      </c>
      <c r="C17" s="3">
        <v>1310.0</v>
      </c>
      <c r="D17" s="3">
        <v>3031.0</v>
      </c>
      <c r="E17" s="1">
        <v>65.0</v>
      </c>
      <c r="F17" s="2"/>
    </row>
    <row r="18">
      <c r="A18" s="1" t="s">
        <v>21</v>
      </c>
      <c r="B18" s="3">
        <v>2150.0</v>
      </c>
      <c r="C18" s="3">
        <v>3850.0</v>
      </c>
      <c r="D18" s="3">
        <v>4210.0</v>
      </c>
      <c r="E18" s="1">
        <v>110.0</v>
      </c>
      <c r="F18" s="2"/>
    </row>
    <row r="19">
      <c r="A19" s="1" t="s">
        <v>22</v>
      </c>
      <c r="B19" s="3">
        <v>1850.0</v>
      </c>
      <c r="C19" s="3">
        <v>2150.0</v>
      </c>
      <c r="D19" s="3">
        <v>3120.0</v>
      </c>
      <c r="E19" s="1">
        <v>140.0</v>
      </c>
      <c r="F19" s="2"/>
    </row>
    <row r="20">
      <c r="A20" s="1" t="s">
        <v>23</v>
      </c>
      <c r="B20" s="3">
        <v>1450.0</v>
      </c>
      <c r="C20" s="3">
        <v>1240.0</v>
      </c>
      <c r="D20" s="3">
        <v>1850.0</v>
      </c>
      <c r="E20" s="1">
        <v>140.0</v>
      </c>
      <c r="F20" s="2"/>
    </row>
    <row r="21">
      <c r="A21" s="1" t="s">
        <v>24</v>
      </c>
      <c r="B21" s="3">
        <v>3850.0</v>
      </c>
      <c r="C21" s="3">
        <v>3120.0</v>
      </c>
      <c r="D21" s="3">
        <v>4850.0</v>
      </c>
      <c r="E21" s="1">
        <v>150.0</v>
      </c>
      <c r="F21" s="2"/>
    </row>
    <row r="22">
      <c r="A22" s="1" t="s">
        <v>25</v>
      </c>
      <c r="B22" s="3">
        <v>1450.0</v>
      </c>
      <c r="C22" s="3">
        <v>1120.0</v>
      </c>
      <c r="D22" s="3">
        <v>2150.0</v>
      </c>
      <c r="E22" s="1">
        <v>85.0</v>
      </c>
      <c r="F22" s="2"/>
    </row>
    <row r="23">
      <c r="A23" s="1" t="s">
        <v>26</v>
      </c>
      <c r="B23" s="1">
        <v>350.0</v>
      </c>
      <c r="C23" s="1">
        <v>150.0</v>
      </c>
      <c r="D23" s="1">
        <v>110.0</v>
      </c>
      <c r="E23" s="1">
        <v>0.0</v>
      </c>
      <c r="F23" s="2"/>
    </row>
    <row r="24">
      <c r="A24" s="1" t="s">
        <v>27</v>
      </c>
      <c r="B24" s="1">
        <v>950.0</v>
      </c>
      <c r="C24" s="3">
        <v>1120.0</v>
      </c>
      <c r="D24" s="1">
        <v>850.0</v>
      </c>
      <c r="E24" s="1">
        <v>40.0</v>
      </c>
      <c r="F24" s="2"/>
    </row>
    <row r="25">
      <c r="A25" s="1" t="s">
        <v>28</v>
      </c>
      <c r="B25" s="3">
        <v>1850.0</v>
      </c>
      <c r="C25" s="3">
        <v>1450.0</v>
      </c>
      <c r="D25" s="3">
        <v>1240.0</v>
      </c>
      <c r="E25" s="1">
        <v>110.0</v>
      </c>
      <c r="F25" s="2"/>
    </row>
    <row r="26">
      <c r="A26" s="1" t="s">
        <v>29</v>
      </c>
      <c r="B26" s="1">
        <v>450.0</v>
      </c>
      <c r="C26" s="1">
        <v>320.0</v>
      </c>
      <c r="D26" s="1">
        <v>180.0</v>
      </c>
      <c r="E26" s="1">
        <v>0.0</v>
      </c>
      <c r="F26" s="2"/>
    </row>
    <row r="27">
      <c r="A27" s="1" t="s">
        <v>30</v>
      </c>
      <c r="B27" s="1">
        <v>110.0</v>
      </c>
      <c r="C27" s="1">
        <v>80.0</v>
      </c>
      <c r="D27" s="1">
        <v>40.0</v>
      </c>
      <c r="E27" s="1">
        <v>0.0</v>
      </c>
      <c r="F27" s="2"/>
    </row>
    <row r="28">
      <c r="A28" s="1" t="s">
        <v>31</v>
      </c>
      <c r="B28" s="3">
        <v>2037.0</v>
      </c>
      <c r="C28" s="1">
        <v>840.0</v>
      </c>
      <c r="D28" s="3">
        <v>1179.0</v>
      </c>
      <c r="E28" s="1">
        <v>55.0</v>
      </c>
      <c r="F2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1.88"/>
    <col customWidth="1" min="3" max="3" width="10.63"/>
    <col customWidth="1" min="4" max="4" width="10.88"/>
    <col customWidth="1" min="5" max="5" width="14.13"/>
    <col customWidth="1" min="7" max="7" width="11.13"/>
    <col customWidth="1" min="8" max="9" width="13.75"/>
    <col customWidth="1" min="10" max="10" width="14.88"/>
    <col customWidth="1" min="11" max="11" width="12.63"/>
    <col customWidth="1" min="13" max="13" width="16.13"/>
    <col customWidth="1" min="14" max="14" width="15.38"/>
    <col customWidth="1" min="15" max="15" width="15.63"/>
    <col customWidth="1" min="16" max="1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  <c r="G1" s="5" t="s">
        <v>32</v>
      </c>
      <c r="H1" s="5" t="s">
        <v>33</v>
      </c>
      <c r="I1" s="5" t="s">
        <v>34</v>
      </c>
      <c r="J1" s="1" t="s">
        <v>35</v>
      </c>
      <c r="K1" s="1" t="s">
        <v>36</v>
      </c>
      <c r="L1" s="4"/>
      <c r="M1" s="6" t="s">
        <v>37</v>
      </c>
      <c r="N1" s="6" t="s">
        <v>38</v>
      </c>
      <c r="O1" s="6" t="s">
        <v>39</v>
      </c>
      <c r="P1" s="6" t="s">
        <v>40</v>
      </c>
      <c r="Q1" s="4"/>
      <c r="R1" s="1"/>
      <c r="S1" s="1"/>
      <c r="T1" s="4"/>
      <c r="U1" s="1" t="s">
        <v>41</v>
      </c>
      <c r="V1" s="1" t="s">
        <v>42</v>
      </c>
      <c r="W1" s="4"/>
      <c r="X1" s="4"/>
      <c r="Y1" s="4"/>
      <c r="Z1" s="4"/>
      <c r="AA1" s="4"/>
      <c r="AB1" s="4"/>
      <c r="AC1" s="4"/>
      <c r="AD1" s="4"/>
      <c r="AE1" s="4"/>
    </row>
    <row r="2">
      <c r="A2" s="1" t="s">
        <v>5</v>
      </c>
      <c r="B2" s="3">
        <v>6050.0</v>
      </c>
      <c r="C2" s="3">
        <v>5850.0</v>
      </c>
      <c r="D2" s="3">
        <v>3120.0</v>
      </c>
      <c r="E2" s="1">
        <v>120.0</v>
      </c>
      <c r="F2" s="4"/>
      <c r="G2" s="7">
        <f t="shared" ref="G2:G28" si="2">(B2/$M$2)*$V$2</f>
        <v>52.80446549</v>
      </c>
      <c r="H2" s="7">
        <f t="shared" ref="H2:H28" si="3">(C2/$N$2)*$V$3</f>
        <v>19.90536105</v>
      </c>
      <c r="I2" s="7">
        <f t="shared" ref="I2:I28" si="4">(D2/$O$2)*$V$4</f>
        <v>28.11956522</v>
      </c>
      <c r="J2" s="4">
        <f t="shared" ref="J2:J28" si="5">(E2/$P$2)*$V$5</f>
        <v>0.8711627113</v>
      </c>
      <c r="K2" s="7">
        <f t="shared" ref="K2:K28" si="6">SUM(G2:J2)</f>
        <v>101.7005545</v>
      </c>
      <c r="L2" s="4"/>
      <c r="M2" s="8">
        <f t="shared" ref="M2:P2" si="1">sum(B2:B28)</f>
        <v>59120</v>
      </c>
      <c r="N2" s="8">
        <f t="shared" si="1"/>
        <v>91400</v>
      </c>
      <c r="O2" s="8">
        <f t="shared" si="1"/>
        <v>99360</v>
      </c>
      <c r="P2" s="9">
        <f t="shared" si="1"/>
        <v>29285</v>
      </c>
      <c r="Q2" s="4"/>
      <c r="R2" s="1"/>
      <c r="S2" s="1"/>
      <c r="T2" s="4"/>
      <c r="U2" s="1" t="s">
        <v>43</v>
      </c>
      <c r="V2" s="1">
        <v>516.0</v>
      </c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6</v>
      </c>
      <c r="B3" s="3">
        <v>3850.0</v>
      </c>
      <c r="C3" s="3">
        <v>4210.0</v>
      </c>
      <c r="D3" s="3">
        <v>2450.0</v>
      </c>
      <c r="E3" s="1">
        <v>90.0</v>
      </c>
      <c r="F3" s="4"/>
      <c r="G3" s="7">
        <f t="shared" si="2"/>
        <v>33.60284168</v>
      </c>
      <c r="H3" s="7">
        <f t="shared" si="3"/>
        <v>14.3250547</v>
      </c>
      <c r="I3" s="7">
        <f t="shared" si="4"/>
        <v>22.08106884</v>
      </c>
      <c r="J3" s="4">
        <f t="shared" si="5"/>
        <v>0.6533720335</v>
      </c>
      <c r="K3" s="7">
        <f t="shared" si="6"/>
        <v>70.66233726</v>
      </c>
      <c r="L3" s="4"/>
      <c r="M3" s="4"/>
      <c r="N3" s="4"/>
      <c r="O3" s="4"/>
      <c r="P3" s="4"/>
      <c r="Q3" s="4"/>
      <c r="R3" s="1"/>
      <c r="S3" s="1"/>
      <c r="T3" s="4"/>
      <c r="U3" s="1" t="s">
        <v>44</v>
      </c>
      <c r="V3" s="1">
        <v>311.0</v>
      </c>
      <c r="W3" s="4"/>
      <c r="X3" s="4"/>
      <c r="Y3" s="4"/>
      <c r="Z3" s="4"/>
      <c r="AA3" s="4"/>
      <c r="AB3" s="4"/>
      <c r="AC3" s="4"/>
      <c r="AD3" s="4"/>
      <c r="AE3" s="4"/>
    </row>
    <row r="4">
      <c r="A4" s="1" t="s">
        <v>7</v>
      </c>
      <c r="B4" s="3">
        <v>2150.0</v>
      </c>
      <c r="C4" s="3">
        <v>5120.0</v>
      </c>
      <c r="D4" s="3">
        <v>3450.0</v>
      </c>
      <c r="E4" s="1">
        <v>110.0</v>
      </c>
      <c r="F4" s="4"/>
      <c r="G4" s="7">
        <f t="shared" si="2"/>
        <v>18.76522327</v>
      </c>
      <c r="H4" s="7">
        <f t="shared" si="3"/>
        <v>17.4214442</v>
      </c>
      <c r="I4" s="7">
        <f t="shared" si="4"/>
        <v>31.09375</v>
      </c>
      <c r="J4" s="4">
        <f t="shared" si="5"/>
        <v>0.7985658187</v>
      </c>
      <c r="K4" s="7">
        <f t="shared" si="6"/>
        <v>68.07898329</v>
      </c>
      <c r="L4" s="4"/>
      <c r="M4" s="4"/>
      <c r="N4" s="4"/>
      <c r="O4" s="4"/>
      <c r="P4" s="4"/>
      <c r="Q4" s="4"/>
      <c r="R4" s="1"/>
      <c r="S4" s="1"/>
      <c r="T4" s="4"/>
      <c r="U4" s="1" t="s">
        <v>45</v>
      </c>
      <c r="V4" s="1">
        <v>895.5</v>
      </c>
      <c r="W4" s="4"/>
      <c r="X4" s="4"/>
      <c r="Y4" s="4"/>
      <c r="Z4" s="4"/>
      <c r="AA4" s="4"/>
      <c r="AB4" s="4"/>
      <c r="AC4" s="4"/>
      <c r="AD4" s="4"/>
      <c r="AE4" s="4"/>
    </row>
    <row r="5">
      <c r="A5" s="1" t="s">
        <v>8</v>
      </c>
      <c r="B5" s="3">
        <v>4890.0</v>
      </c>
      <c r="C5" s="3">
        <v>4210.0</v>
      </c>
      <c r="D5" s="3">
        <v>2850.0</v>
      </c>
      <c r="E5" s="1">
        <v>80.0</v>
      </c>
      <c r="F5" s="4"/>
      <c r="G5" s="7">
        <f t="shared" si="2"/>
        <v>42.67997294</v>
      </c>
      <c r="H5" s="7">
        <f t="shared" si="3"/>
        <v>14.3250547</v>
      </c>
      <c r="I5" s="7">
        <f t="shared" si="4"/>
        <v>25.6861413</v>
      </c>
      <c r="J5" s="4">
        <f t="shared" si="5"/>
        <v>0.5807751409</v>
      </c>
      <c r="K5" s="7">
        <f t="shared" si="6"/>
        <v>83.27194409</v>
      </c>
      <c r="L5" s="4"/>
      <c r="M5" s="4"/>
      <c r="N5" s="4"/>
      <c r="O5" s="4"/>
      <c r="P5" s="4"/>
      <c r="Q5" s="4"/>
      <c r="R5" s="1"/>
      <c r="S5" s="1"/>
      <c r="T5" s="4"/>
      <c r="U5" s="1" t="s">
        <v>46</v>
      </c>
      <c r="V5" s="1">
        <v>212.6</v>
      </c>
      <c r="W5" s="4"/>
      <c r="X5" s="4"/>
      <c r="Y5" s="4"/>
      <c r="Z5" s="4"/>
      <c r="AA5" s="4"/>
      <c r="AB5" s="4"/>
      <c r="AC5" s="4"/>
      <c r="AD5" s="4"/>
      <c r="AE5" s="4"/>
    </row>
    <row r="6">
      <c r="A6" s="1" t="s">
        <v>9</v>
      </c>
      <c r="B6" s="3">
        <v>4120.0</v>
      </c>
      <c r="C6" s="3">
        <v>8450.0</v>
      </c>
      <c r="D6" s="3">
        <v>9120.0</v>
      </c>
      <c r="E6" s="1">
        <v>450.0</v>
      </c>
      <c r="F6" s="4"/>
      <c r="G6" s="7">
        <f t="shared" si="2"/>
        <v>35.9594046</v>
      </c>
      <c r="H6" s="7">
        <f t="shared" si="3"/>
        <v>28.75218818</v>
      </c>
      <c r="I6" s="7">
        <f t="shared" si="4"/>
        <v>82.19565217</v>
      </c>
      <c r="J6" s="4">
        <f t="shared" si="5"/>
        <v>3.266860167</v>
      </c>
      <c r="K6" s="7">
        <f t="shared" si="6"/>
        <v>150.1741051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" t="s">
        <v>10</v>
      </c>
      <c r="B7" s="3">
        <v>2150.0</v>
      </c>
      <c r="C7" s="3">
        <v>6450.0</v>
      </c>
      <c r="D7" s="3">
        <v>4850.0</v>
      </c>
      <c r="E7" s="1">
        <v>250.0</v>
      </c>
      <c r="F7" s="4"/>
      <c r="G7" s="7">
        <f t="shared" si="2"/>
        <v>18.76522327</v>
      </c>
      <c r="H7" s="7">
        <f t="shared" si="3"/>
        <v>21.94693654</v>
      </c>
      <c r="I7" s="7">
        <f t="shared" si="4"/>
        <v>43.71150362</v>
      </c>
      <c r="J7" s="4">
        <f t="shared" si="5"/>
        <v>1.814922315</v>
      </c>
      <c r="K7" s="7">
        <f t="shared" si="6"/>
        <v>86.23858576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" t="s">
        <v>11</v>
      </c>
      <c r="B8" s="1">
        <v>850.0</v>
      </c>
      <c r="C8" s="3">
        <v>5120.0</v>
      </c>
      <c r="D8" s="3">
        <v>6450.0</v>
      </c>
      <c r="E8" s="3">
        <v>5120.0</v>
      </c>
      <c r="F8" s="4"/>
      <c r="G8" s="7">
        <f t="shared" si="2"/>
        <v>7.418809202</v>
      </c>
      <c r="H8" s="7">
        <f t="shared" si="3"/>
        <v>17.4214442</v>
      </c>
      <c r="I8" s="7">
        <f t="shared" si="4"/>
        <v>58.13179348</v>
      </c>
      <c r="J8" s="4">
        <f t="shared" si="5"/>
        <v>37.16960901</v>
      </c>
      <c r="K8" s="7">
        <f t="shared" si="6"/>
        <v>120.1416559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" t="s">
        <v>12</v>
      </c>
      <c r="B9" s="3">
        <v>1120.0</v>
      </c>
      <c r="C9" s="3">
        <v>6120.0</v>
      </c>
      <c r="D9" s="3">
        <v>8850.0</v>
      </c>
      <c r="E9" s="3">
        <v>12450.0</v>
      </c>
      <c r="F9" s="4"/>
      <c r="G9" s="7">
        <f t="shared" si="2"/>
        <v>9.775372124</v>
      </c>
      <c r="H9" s="7">
        <f t="shared" si="3"/>
        <v>20.82407002</v>
      </c>
      <c r="I9" s="7">
        <f t="shared" si="4"/>
        <v>79.76222826</v>
      </c>
      <c r="J9" s="4">
        <f t="shared" si="5"/>
        <v>90.3831313</v>
      </c>
      <c r="K9" s="7">
        <f t="shared" si="6"/>
        <v>200.7448017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" t="s">
        <v>13</v>
      </c>
      <c r="B10" s="3">
        <v>1120.0</v>
      </c>
      <c r="C10" s="3">
        <v>3850.0</v>
      </c>
      <c r="D10" s="3">
        <v>6450.0</v>
      </c>
      <c r="E10" s="3">
        <v>3850.0</v>
      </c>
      <c r="F10" s="4"/>
      <c r="G10" s="7">
        <f t="shared" si="2"/>
        <v>9.775372124</v>
      </c>
      <c r="H10" s="7">
        <f t="shared" si="3"/>
        <v>13.10010941</v>
      </c>
      <c r="I10" s="7">
        <f t="shared" si="4"/>
        <v>58.13179348</v>
      </c>
      <c r="J10" s="4">
        <f t="shared" si="5"/>
        <v>27.94980365</v>
      </c>
      <c r="K10" s="7">
        <f t="shared" si="6"/>
        <v>108.9570787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" t="s">
        <v>14</v>
      </c>
      <c r="B11" s="1">
        <v>850.0</v>
      </c>
      <c r="C11" s="3">
        <v>4210.0</v>
      </c>
      <c r="D11" s="3">
        <v>5450.0</v>
      </c>
      <c r="E11" s="3">
        <v>2120.0</v>
      </c>
      <c r="F11" s="4"/>
      <c r="G11" s="7">
        <f t="shared" si="2"/>
        <v>7.418809202</v>
      </c>
      <c r="H11" s="7">
        <f t="shared" si="3"/>
        <v>14.3250547</v>
      </c>
      <c r="I11" s="7">
        <f t="shared" si="4"/>
        <v>49.11911232</v>
      </c>
      <c r="J11" s="4">
        <f t="shared" si="5"/>
        <v>15.39054123</v>
      </c>
      <c r="K11" s="7">
        <f t="shared" si="6"/>
        <v>86.25351746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" t="s">
        <v>15</v>
      </c>
      <c r="B12" s="3">
        <v>1120.0</v>
      </c>
      <c r="C12" s="3">
        <v>4120.0</v>
      </c>
      <c r="D12" s="3">
        <v>5210.0</v>
      </c>
      <c r="E12" s="3">
        <v>1850.0</v>
      </c>
      <c r="F12" s="4"/>
      <c r="G12" s="7">
        <f t="shared" si="2"/>
        <v>9.775372124</v>
      </c>
      <c r="H12" s="7">
        <f t="shared" si="3"/>
        <v>14.01881838</v>
      </c>
      <c r="I12" s="7">
        <f t="shared" si="4"/>
        <v>46.95606884</v>
      </c>
      <c r="J12" s="4">
        <f t="shared" si="5"/>
        <v>13.43042513</v>
      </c>
      <c r="K12" s="7">
        <f t="shared" si="6"/>
        <v>84.18068448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" t="s">
        <v>16</v>
      </c>
      <c r="B13" s="3">
        <v>1850.0</v>
      </c>
      <c r="C13" s="3">
        <v>6120.0</v>
      </c>
      <c r="D13" s="3">
        <v>5120.0</v>
      </c>
      <c r="E13" s="1">
        <v>450.0</v>
      </c>
      <c r="F13" s="4"/>
      <c r="G13" s="7">
        <f t="shared" si="2"/>
        <v>16.14682003</v>
      </c>
      <c r="H13" s="7">
        <f t="shared" si="3"/>
        <v>20.82407002</v>
      </c>
      <c r="I13" s="7">
        <f t="shared" si="4"/>
        <v>46.14492754</v>
      </c>
      <c r="J13" s="4">
        <f t="shared" si="5"/>
        <v>3.266860167</v>
      </c>
      <c r="K13" s="7">
        <f t="shared" si="6"/>
        <v>86.38267775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" t="s">
        <v>17</v>
      </c>
      <c r="B14" s="3">
        <v>1120.0</v>
      </c>
      <c r="C14" s="3">
        <v>3120.0</v>
      </c>
      <c r="D14" s="3">
        <v>3850.0</v>
      </c>
      <c r="E14" s="1">
        <v>150.0</v>
      </c>
      <c r="F14" s="4"/>
      <c r="G14" s="7">
        <f t="shared" si="2"/>
        <v>9.775372124</v>
      </c>
      <c r="H14" s="7">
        <f t="shared" si="3"/>
        <v>10.61619256</v>
      </c>
      <c r="I14" s="7">
        <f t="shared" si="4"/>
        <v>34.69882246</v>
      </c>
      <c r="J14" s="4">
        <f t="shared" si="5"/>
        <v>1.088953389</v>
      </c>
      <c r="K14" s="7">
        <f t="shared" si="6"/>
        <v>56.17934054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" t="s">
        <v>18</v>
      </c>
      <c r="B15" s="3">
        <v>2450.0</v>
      </c>
      <c r="C15" s="3">
        <v>4850.0</v>
      </c>
      <c r="D15" s="3">
        <v>5120.0</v>
      </c>
      <c r="E15" s="1">
        <v>450.0</v>
      </c>
      <c r="F15" s="4"/>
      <c r="G15" s="7">
        <f t="shared" si="2"/>
        <v>21.38362652</v>
      </c>
      <c r="H15" s="7">
        <f t="shared" si="3"/>
        <v>16.50273523</v>
      </c>
      <c r="I15" s="7">
        <f t="shared" si="4"/>
        <v>46.14492754</v>
      </c>
      <c r="J15" s="4">
        <f t="shared" si="5"/>
        <v>3.266860167</v>
      </c>
      <c r="K15" s="7">
        <f t="shared" si="6"/>
        <v>87.29814946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" t="s">
        <v>19</v>
      </c>
      <c r="B16" s="3">
        <v>6120.0</v>
      </c>
      <c r="C16" s="3">
        <v>2850.0</v>
      </c>
      <c r="D16" s="3">
        <v>4210.0</v>
      </c>
      <c r="E16" s="1">
        <v>850.0</v>
      </c>
      <c r="F16" s="4"/>
      <c r="G16" s="7">
        <f t="shared" si="2"/>
        <v>53.41542625</v>
      </c>
      <c r="H16" s="7">
        <f t="shared" si="3"/>
        <v>9.697483589</v>
      </c>
      <c r="I16" s="7">
        <f t="shared" si="4"/>
        <v>37.94338768</v>
      </c>
      <c r="J16" s="4">
        <f t="shared" si="5"/>
        <v>6.170735872</v>
      </c>
      <c r="K16" s="7">
        <f t="shared" si="6"/>
        <v>107.2270334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" t="s">
        <v>20</v>
      </c>
      <c r="B17" s="3">
        <v>2813.0</v>
      </c>
      <c r="C17" s="3">
        <v>1310.0</v>
      </c>
      <c r="D17" s="3">
        <v>3031.0</v>
      </c>
      <c r="E17" s="1">
        <v>65.0</v>
      </c>
      <c r="F17" s="4"/>
      <c r="G17" s="7">
        <f t="shared" si="2"/>
        <v>24.55189445</v>
      </c>
      <c r="H17" s="7">
        <f t="shared" si="3"/>
        <v>4.457439825</v>
      </c>
      <c r="I17" s="7">
        <f t="shared" si="4"/>
        <v>27.31743659</v>
      </c>
      <c r="J17" s="4">
        <f t="shared" si="5"/>
        <v>0.4718798019</v>
      </c>
      <c r="K17" s="7">
        <f t="shared" si="6"/>
        <v>56.79865067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" t="s">
        <v>21</v>
      </c>
      <c r="B18" s="3">
        <v>2150.0</v>
      </c>
      <c r="C18" s="3">
        <v>3850.0</v>
      </c>
      <c r="D18" s="3">
        <v>4210.0</v>
      </c>
      <c r="E18" s="1">
        <v>110.0</v>
      </c>
      <c r="F18" s="4"/>
      <c r="G18" s="7">
        <f t="shared" si="2"/>
        <v>18.76522327</v>
      </c>
      <c r="H18" s="7">
        <f t="shared" si="3"/>
        <v>13.10010941</v>
      </c>
      <c r="I18" s="7">
        <f t="shared" si="4"/>
        <v>37.94338768</v>
      </c>
      <c r="J18" s="4">
        <f t="shared" si="5"/>
        <v>0.7985658187</v>
      </c>
      <c r="K18" s="7">
        <f t="shared" si="6"/>
        <v>70.60728618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" t="s">
        <v>22</v>
      </c>
      <c r="B19" s="3">
        <v>1850.0</v>
      </c>
      <c r="C19" s="3">
        <v>2150.0</v>
      </c>
      <c r="D19" s="3">
        <v>3120.0</v>
      </c>
      <c r="E19" s="1">
        <v>140.0</v>
      </c>
      <c r="F19" s="4"/>
      <c r="G19" s="7">
        <f t="shared" si="2"/>
        <v>16.14682003</v>
      </c>
      <c r="H19" s="7">
        <f t="shared" si="3"/>
        <v>7.315645514</v>
      </c>
      <c r="I19" s="7">
        <f t="shared" si="4"/>
        <v>28.11956522</v>
      </c>
      <c r="J19" s="4">
        <f t="shared" si="5"/>
        <v>1.016356496</v>
      </c>
      <c r="K19" s="7">
        <f t="shared" si="6"/>
        <v>52.59838726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" t="s">
        <v>23</v>
      </c>
      <c r="B20" s="3">
        <v>1450.0</v>
      </c>
      <c r="C20" s="3">
        <v>1240.0</v>
      </c>
      <c r="D20" s="3">
        <v>1850.0</v>
      </c>
      <c r="E20" s="1">
        <v>140.0</v>
      </c>
      <c r="F20" s="4"/>
      <c r="G20" s="7">
        <f t="shared" si="2"/>
        <v>12.6556157</v>
      </c>
      <c r="H20" s="7">
        <f t="shared" si="3"/>
        <v>4.219256018</v>
      </c>
      <c r="I20" s="7">
        <f t="shared" si="4"/>
        <v>16.67346014</v>
      </c>
      <c r="J20" s="4">
        <f t="shared" si="5"/>
        <v>1.016356496</v>
      </c>
      <c r="K20" s="7">
        <f t="shared" si="6"/>
        <v>34.56468836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" t="s">
        <v>24</v>
      </c>
      <c r="B21" s="3">
        <v>3850.0</v>
      </c>
      <c r="C21" s="3">
        <v>3120.0</v>
      </c>
      <c r="D21" s="3">
        <v>4850.0</v>
      </c>
      <c r="E21" s="1">
        <v>150.0</v>
      </c>
      <c r="F21" s="4"/>
      <c r="G21" s="7">
        <f t="shared" si="2"/>
        <v>33.60284168</v>
      </c>
      <c r="H21" s="7">
        <f t="shared" si="3"/>
        <v>10.61619256</v>
      </c>
      <c r="I21" s="7">
        <f t="shared" si="4"/>
        <v>43.71150362</v>
      </c>
      <c r="J21" s="4">
        <f t="shared" si="5"/>
        <v>1.088953389</v>
      </c>
      <c r="K21" s="7">
        <f t="shared" si="6"/>
        <v>89.01949125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" t="s">
        <v>25</v>
      </c>
      <c r="B22" s="3">
        <v>1450.0</v>
      </c>
      <c r="C22" s="3">
        <v>1120.0</v>
      </c>
      <c r="D22" s="3">
        <v>2150.0</v>
      </c>
      <c r="E22" s="1">
        <v>85.0</v>
      </c>
      <c r="F22" s="4"/>
      <c r="G22" s="7">
        <f t="shared" si="2"/>
        <v>12.6556157</v>
      </c>
      <c r="H22" s="7">
        <f t="shared" si="3"/>
        <v>3.810940919</v>
      </c>
      <c r="I22" s="7">
        <f t="shared" si="4"/>
        <v>19.37726449</v>
      </c>
      <c r="J22" s="4">
        <f t="shared" si="5"/>
        <v>0.6170735872</v>
      </c>
      <c r="K22" s="7">
        <f t="shared" si="6"/>
        <v>36.4608947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" t="s">
        <v>26</v>
      </c>
      <c r="B23" s="1">
        <v>350.0</v>
      </c>
      <c r="C23" s="1">
        <v>150.0</v>
      </c>
      <c r="D23" s="1">
        <v>110.0</v>
      </c>
      <c r="E23" s="1">
        <v>0.0</v>
      </c>
      <c r="F23" s="4"/>
      <c r="G23" s="7">
        <f t="shared" si="2"/>
        <v>3.054803789</v>
      </c>
      <c r="H23" s="7">
        <f t="shared" si="3"/>
        <v>0.5103938731</v>
      </c>
      <c r="I23" s="7">
        <f t="shared" si="4"/>
        <v>0.9913949275</v>
      </c>
      <c r="J23" s="4">
        <f t="shared" si="5"/>
        <v>0</v>
      </c>
      <c r="K23" s="7">
        <f t="shared" si="6"/>
        <v>4.55659259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1" t="s">
        <v>27</v>
      </c>
      <c r="B24" s="1">
        <v>950.0</v>
      </c>
      <c r="C24" s="3">
        <v>1120.0</v>
      </c>
      <c r="D24" s="1">
        <v>850.0</v>
      </c>
      <c r="E24" s="1">
        <v>40.0</v>
      </c>
      <c r="F24" s="4"/>
      <c r="G24" s="7">
        <f t="shared" si="2"/>
        <v>8.291610284</v>
      </c>
      <c r="H24" s="7">
        <f t="shared" si="3"/>
        <v>3.810940919</v>
      </c>
      <c r="I24" s="7">
        <f t="shared" si="4"/>
        <v>7.660778986</v>
      </c>
      <c r="J24" s="4">
        <f t="shared" si="5"/>
        <v>0.2903875704</v>
      </c>
      <c r="K24" s="7">
        <f t="shared" si="6"/>
        <v>20.05371776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" t="s">
        <v>28</v>
      </c>
      <c r="B25" s="3">
        <v>1850.0</v>
      </c>
      <c r="C25" s="3">
        <v>1450.0</v>
      </c>
      <c r="D25" s="3">
        <v>1240.0</v>
      </c>
      <c r="E25" s="1">
        <v>110.0</v>
      </c>
      <c r="F25" s="4"/>
      <c r="G25" s="7">
        <f t="shared" si="2"/>
        <v>16.14682003</v>
      </c>
      <c r="H25" s="7">
        <f t="shared" si="3"/>
        <v>4.93380744</v>
      </c>
      <c r="I25" s="7">
        <f t="shared" si="4"/>
        <v>11.17572464</v>
      </c>
      <c r="J25" s="4">
        <f t="shared" si="5"/>
        <v>0.7985658187</v>
      </c>
      <c r="K25" s="7">
        <f t="shared" si="6"/>
        <v>33.05491792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" t="s">
        <v>29</v>
      </c>
      <c r="B26" s="1">
        <v>450.0</v>
      </c>
      <c r="C26" s="1">
        <v>320.0</v>
      </c>
      <c r="D26" s="1">
        <v>180.0</v>
      </c>
      <c r="E26" s="1">
        <v>0.0</v>
      </c>
      <c r="F26" s="4"/>
      <c r="G26" s="7">
        <f t="shared" si="2"/>
        <v>3.927604871</v>
      </c>
      <c r="H26" s="7">
        <f t="shared" si="3"/>
        <v>1.088840263</v>
      </c>
      <c r="I26" s="7">
        <f t="shared" si="4"/>
        <v>1.622282609</v>
      </c>
      <c r="J26" s="4">
        <f t="shared" si="5"/>
        <v>0</v>
      </c>
      <c r="K26" s="7">
        <f t="shared" si="6"/>
        <v>6.638727743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" t="s">
        <v>30</v>
      </c>
      <c r="B27" s="1">
        <v>110.0</v>
      </c>
      <c r="C27" s="1">
        <v>80.0</v>
      </c>
      <c r="D27" s="1">
        <v>40.0</v>
      </c>
      <c r="E27" s="1">
        <v>0.0</v>
      </c>
      <c r="F27" s="4"/>
      <c r="G27" s="7">
        <f t="shared" si="2"/>
        <v>0.9600811908</v>
      </c>
      <c r="H27" s="7">
        <f t="shared" si="3"/>
        <v>0.2722100656</v>
      </c>
      <c r="I27" s="7">
        <f t="shared" si="4"/>
        <v>0.3605072464</v>
      </c>
      <c r="J27" s="4">
        <f t="shared" si="5"/>
        <v>0</v>
      </c>
      <c r="K27" s="7">
        <f t="shared" si="6"/>
        <v>1.592798503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" t="s">
        <v>31</v>
      </c>
      <c r="B28" s="3">
        <v>2037.0</v>
      </c>
      <c r="C28" s="1">
        <v>840.0</v>
      </c>
      <c r="D28" s="3">
        <v>1179.0</v>
      </c>
      <c r="E28" s="1">
        <v>55.0</v>
      </c>
      <c r="F28" s="4"/>
      <c r="G28" s="7">
        <f t="shared" si="2"/>
        <v>17.77895805</v>
      </c>
      <c r="H28" s="7">
        <f t="shared" si="3"/>
        <v>2.858205689</v>
      </c>
      <c r="I28" s="7">
        <f t="shared" si="4"/>
        <v>10.62595109</v>
      </c>
      <c r="J28" s="4">
        <f t="shared" si="5"/>
        <v>0.3992829093</v>
      </c>
      <c r="K28" s="7">
        <f t="shared" si="6"/>
        <v>31.66239774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1" t="s">
        <v>36</v>
      </c>
      <c r="G29" s="7">
        <f t="shared" ref="G29:K29" si="7">SUM(G2:G28)</f>
        <v>516</v>
      </c>
      <c r="H29" s="7">
        <f t="shared" si="7"/>
        <v>311</v>
      </c>
      <c r="I29" s="7">
        <f t="shared" si="7"/>
        <v>895.5</v>
      </c>
      <c r="J29" s="4">
        <f t="shared" si="7"/>
        <v>212.6</v>
      </c>
      <c r="K29" s="7">
        <f t="shared" si="7"/>
        <v>1935.1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7"/>
      <c r="H30" s="7"/>
      <c r="I30" s="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7"/>
      <c r="H31" s="7"/>
      <c r="I31" s="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7"/>
      <c r="H32" s="7"/>
      <c r="I32" s="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7"/>
      <c r="H33" s="7"/>
      <c r="I33" s="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7"/>
      <c r="H34" s="7"/>
      <c r="I34" s="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7"/>
      <c r="H35" s="7"/>
      <c r="I35" s="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7"/>
      <c r="H36" s="7"/>
      <c r="I36" s="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7"/>
      <c r="H37" s="7"/>
      <c r="I37" s="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7"/>
      <c r="H38" s="7"/>
      <c r="I38" s="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7"/>
      <c r="H39" s="7"/>
      <c r="I39" s="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7"/>
      <c r="H40" s="7"/>
      <c r="I40" s="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7"/>
      <c r="H41" s="7"/>
      <c r="I41" s="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7"/>
      <c r="H42" s="7"/>
      <c r="I42" s="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7"/>
      <c r="H43" s="7"/>
      <c r="I43" s="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7"/>
      <c r="H44" s="7"/>
      <c r="I44" s="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7"/>
      <c r="H45" s="7"/>
      <c r="I45" s="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7"/>
      <c r="H46" s="7"/>
      <c r="I46" s="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7"/>
      <c r="H47" s="7"/>
      <c r="I47" s="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7"/>
      <c r="H48" s="7"/>
      <c r="I48" s="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7"/>
      <c r="H49" s="7"/>
      <c r="I49" s="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7"/>
      <c r="H50" s="7"/>
      <c r="I50" s="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7"/>
      <c r="H51" s="7"/>
      <c r="I51" s="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7"/>
      <c r="H52" s="7"/>
      <c r="I52" s="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7"/>
      <c r="H53" s="7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7"/>
      <c r="H54" s="7"/>
      <c r="I54" s="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7"/>
      <c r="H55" s="7"/>
      <c r="I55" s="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7"/>
      <c r="H56" s="7"/>
      <c r="I56" s="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7"/>
      <c r="H57" s="7"/>
      <c r="I57" s="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7"/>
      <c r="H58" s="7"/>
      <c r="I58" s="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7"/>
      <c r="H59" s="7"/>
      <c r="I59" s="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7"/>
      <c r="H60" s="7"/>
      <c r="I60" s="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7"/>
      <c r="H61" s="7"/>
      <c r="I61" s="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7"/>
      <c r="H62" s="7"/>
      <c r="I62" s="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7"/>
      <c r="H63" s="7"/>
      <c r="I63" s="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7"/>
      <c r="H64" s="7"/>
      <c r="I64" s="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7"/>
      <c r="H65" s="7"/>
      <c r="I65" s="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7"/>
      <c r="H66" s="7"/>
      <c r="I66" s="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7"/>
      <c r="H67" s="7"/>
      <c r="I67" s="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7"/>
      <c r="H68" s="7"/>
      <c r="I68" s="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7"/>
      <c r="H69" s="7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7"/>
      <c r="H70" s="7"/>
      <c r="I70" s="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7"/>
      <c r="H71" s="7"/>
      <c r="I71" s="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7"/>
      <c r="H72" s="7"/>
      <c r="I72" s="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7"/>
      <c r="H73" s="7"/>
      <c r="I73" s="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7"/>
      <c r="H74" s="7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7"/>
      <c r="H75" s="7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7"/>
      <c r="H76" s="7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7"/>
      <c r="H77" s="7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7"/>
      <c r="H78" s="7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7"/>
      <c r="H79" s="7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7"/>
      <c r="H80" s="7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7"/>
      <c r="H81" s="7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7"/>
      <c r="H82" s="7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7"/>
      <c r="H83" s="7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7"/>
      <c r="H84" s="7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7"/>
      <c r="H85" s="7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7"/>
      <c r="H86" s="7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7"/>
      <c r="H87" s="7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7"/>
      <c r="H88" s="7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7"/>
      <c r="H89" s="7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7"/>
      <c r="H90" s="7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7"/>
      <c r="H91" s="7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7"/>
      <c r="H92" s="7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7"/>
      <c r="H93" s="7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7"/>
      <c r="H94" s="7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7"/>
      <c r="H95" s="7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7"/>
      <c r="H96" s="7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7"/>
      <c r="H97" s="7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7"/>
      <c r="H98" s="7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7"/>
      <c r="H99" s="7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7"/>
      <c r="H100" s="7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7"/>
      <c r="H101" s="7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7"/>
      <c r="H102" s="7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7"/>
      <c r="H103" s="7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7"/>
      <c r="H104" s="7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7"/>
      <c r="H105" s="7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7"/>
      <c r="H106" s="7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7"/>
      <c r="H107" s="7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7"/>
      <c r="H108" s="7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7"/>
      <c r="H109" s="7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7"/>
      <c r="H110" s="7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7"/>
      <c r="H111" s="7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7"/>
      <c r="H112" s="7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7"/>
      <c r="H113" s="7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7"/>
      <c r="H114" s="7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7"/>
      <c r="H115" s="7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7"/>
      <c r="H116" s="7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7"/>
      <c r="H117" s="7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7"/>
      <c r="H118" s="7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7"/>
      <c r="H119" s="7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7"/>
      <c r="H120" s="7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7"/>
      <c r="H121" s="7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7"/>
      <c r="H122" s="7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7"/>
      <c r="H123" s="7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7"/>
      <c r="H124" s="7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7"/>
      <c r="H125" s="7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7"/>
      <c r="H126" s="7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7"/>
      <c r="H127" s="7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7"/>
      <c r="H128" s="7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7"/>
      <c r="H129" s="7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7"/>
      <c r="H130" s="7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7"/>
      <c r="H131" s="7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7"/>
      <c r="H132" s="7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7"/>
      <c r="H133" s="7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7"/>
      <c r="H134" s="7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7"/>
      <c r="H135" s="7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7"/>
      <c r="H136" s="7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7"/>
      <c r="H137" s="7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7"/>
      <c r="H138" s="7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7"/>
      <c r="H139" s="7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7"/>
      <c r="H140" s="7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7"/>
      <c r="H141" s="7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7"/>
      <c r="H142" s="7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7"/>
      <c r="H143" s="7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7"/>
      <c r="H144" s="7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7"/>
      <c r="H145" s="7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7"/>
      <c r="H146" s="7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7"/>
      <c r="H147" s="7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7"/>
      <c r="H148" s="7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7"/>
      <c r="H149" s="7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7"/>
      <c r="H150" s="7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7"/>
      <c r="H151" s="7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7"/>
      <c r="H152" s="7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7"/>
      <c r="H153" s="7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7"/>
      <c r="H154" s="7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7"/>
      <c r="H155" s="7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7"/>
      <c r="H156" s="7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7"/>
      <c r="H157" s="7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7"/>
      <c r="H158" s="7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7"/>
      <c r="H159" s="7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7"/>
      <c r="H160" s="7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7"/>
      <c r="H161" s="7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7"/>
      <c r="H162" s="7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7"/>
      <c r="H163" s="7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7"/>
      <c r="H164" s="7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7"/>
      <c r="H165" s="7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7"/>
      <c r="H166" s="7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7"/>
      <c r="H167" s="7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7"/>
      <c r="H168" s="7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7"/>
      <c r="H169" s="7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7"/>
      <c r="H170" s="7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7"/>
      <c r="H171" s="7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7"/>
      <c r="H172" s="7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7"/>
      <c r="H173" s="7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7"/>
      <c r="H174" s="7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7"/>
      <c r="H175" s="7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7"/>
      <c r="H176" s="7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7"/>
      <c r="H177" s="7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7"/>
      <c r="H178" s="7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7"/>
      <c r="H179" s="7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7"/>
      <c r="H180" s="7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7"/>
      <c r="H181" s="7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7"/>
      <c r="H182" s="7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7"/>
      <c r="H183" s="7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7"/>
      <c r="H184" s="7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7"/>
      <c r="H185" s="7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7"/>
      <c r="H186" s="7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7"/>
      <c r="H187" s="7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7"/>
      <c r="H188" s="7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7"/>
      <c r="H189" s="7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7"/>
      <c r="H190" s="7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7"/>
      <c r="H191" s="7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7"/>
      <c r="H192" s="7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7"/>
      <c r="H193" s="7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7"/>
      <c r="H194" s="7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7"/>
      <c r="H195" s="7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7"/>
      <c r="H196" s="7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7"/>
      <c r="H197" s="7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7"/>
      <c r="H198" s="7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7"/>
      <c r="H199" s="7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7"/>
      <c r="H200" s="7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7"/>
      <c r="H201" s="7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7"/>
      <c r="H202" s="7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7"/>
      <c r="H203" s="7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7"/>
      <c r="H204" s="7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7"/>
      <c r="H205" s="7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7"/>
      <c r="H206" s="7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7"/>
      <c r="H207" s="7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7"/>
      <c r="H208" s="7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7"/>
      <c r="H209" s="7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7"/>
      <c r="H210" s="7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7"/>
      <c r="H211" s="7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7"/>
      <c r="H212" s="7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7"/>
      <c r="H213" s="7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7"/>
      <c r="H214" s="7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7"/>
      <c r="H215" s="7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7"/>
      <c r="H216" s="7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7"/>
      <c r="H217" s="7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7"/>
      <c r="H218" s="7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7"/>
      <c r="H219" s="7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7"/>
      <c r="H220" s="7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7"/>
      <c r="H221" s="7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7"/>
      <c r="H222" s="7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7"/>
      <c r="H223" s="7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7"/>
      <c r="H224" s="7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7"/>
      <c r="H225" s="7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7"/>
      <c r="H226" s="7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7"/>
      <c r="H227" s="7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7"/>
      <c r="H228" s="7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7"/>
      <c r="H229" s="7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7"/>
      <c r="H230" s="7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7"/>
      <c r="H231" s="7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7"/>
      <c r="H232" s="7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7"/>
      <c r="H233" s="7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7"/>
      <c r="H234" s="7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7"/>
      <c r="H235" s="7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7"/>
      <c r="H236" s="7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7"/>
      <c r="H237" s="7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7"/>
      <c r="H238" s="7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7"/>
      <c r="H239" s="7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7"/>
      <c r="H240" s="7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7"/>
      <c r="H241" s="7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7"/>
      <c r="H242" s="7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7"/>
      <c r="H243" s="7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7"/>
      <c r="H244" s="7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7"/>
      <c r="H245" s="7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7"/>
      <c r="H246" s="7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7"/>
      <c r="H247" s="7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7"/>
      <c r="H248" s="7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7"/>
      <c r="H249" s="7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7"/>
      <c r="H250" s="7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7"/>
      <c r="H251" s="7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7"/>
      <c r="H252" s="7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7"/>
      <c r="H253" s="7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7"/>
      <c r="H254" s="7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7"/>
      <c r="H255" s="7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7"/>
      <c r="H256" s="7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7"/>
      <c r="H257" s="7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7"/>
      <c r="H258" s="7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7"/>
      <c r="H259" s="7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7"/>
      <c r="H260" s="7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7"/>
      <c r="H261" s="7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7"/>
      <c r="H262" s="7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7"/>
      <c r="H263" s="7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7"/>
      <c r="H264" s="7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7"/>
      <c r="H265" s="7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7"/>
      <c r="H266" s="7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7"/>
      <c r="H267" s="7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7"/>
      <c r="H268" s="7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7"/>
      <c r="H269" s="7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7"/>
      <c r="H270" s="7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7"/>
      <c r="H271" s="7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7"/>
      <c r="H272" s="7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7"/>
      <c r="H273" s="7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7"/>
      <c r="H274" s="7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7"/>
      <c r="H275" s="7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7"/>
      <c r="H276" s="7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7"/>
      <c r="H277" s="7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7"/>
      <c r="H278" s="7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7"/>
      <c r="H279" s="7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7"/>
      <c r="H280" s="7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7"/>
      <c r="H281" s="7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7"/>
      <c r="H282" s="7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7"/>
      <c r="H283" s="7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7"/>
      <c r="H284" s="7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7"/>
      <c r="H285" s="7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7"/>
      <c r="H286" s="7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7"/>
      <c r="H287" s="7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7"/>
      <c r="H288" s="7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7"/>
      <c r="H289" s="7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7"/>
      <c r="H290" s="7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7"/>
      <c r="H291" s="7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7"/>
      <c r="H292" s="7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7"/>
      <c r="H293" s="7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7"/>
      <c r="H294" s="7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7"/>
      <c r="H295" s="7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7"/>
      <c r="H296" s="7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7"/>
      <c r="H297" s="7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7"/>
      <c r="H298" s="7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7"/>
      <c r="H299" s="7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7"/>
      <c r="H300" s="7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7"/>
      <c r="H301" s="7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7"/>
      <c r="H302" s="7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7"/>
      <c r="H303" s="7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7"/>
      <c r="H304" s="7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7"/>
      <c r="H305" s="7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7"/>
      <c r="H306" s="7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7"/>
      <c r="H307" s="7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7"/>
      <c r="H308" s="7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7"/>
      <c r="H309" s="7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7"/>
      <c r="H310" s="7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7"/>
      <c r="H311" s="7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7"/>
      <c r="H312" s="7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7"/>
      <c r="H313" s="7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7"/>
      <c r="H314" s="7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7"/>
      <c r="H315" s="7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7"/>
      <c r="H316" s="7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7"/>
      <c r="H317" s="7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7"/>
      <c r="H318" s="7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7"/>
      <c r="H319" s="7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7"/>
      <c r="H320" s="7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7"/>
      <c r="H321" s="7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7"/>
      <c r="H322" s="7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7"/>
      <c r="H323" s="7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7"/>
      <c r="H324" s="7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7"/>
      <c r="H325" s="7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7"/>
      <c r="H326" s="7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7"/>
      <c r="H327" s="7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7"/>
      <c r="H328" s="7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7"/>
      <c r="H329" s="7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7"/>
      <c r="H330" s="7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7"/>
      <c r="H331" s="7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7"/>
      <c r="H332" s="7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7"/>
      <c r="H333" s="7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7"/>
      <c r="H334" s="7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7"/>
      <c r="H335" s="7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7"/>
      <c r="H336" s="7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7"/>
      <c r="H337" s="7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7"/>
      <c r="H338" s="7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7"/>
      <c r="H339" s="7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7"/>
      <c r="H340" s="7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7"/>
      <c r="H341" s="7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7"/>
      <c r="H342" s="7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7"/>
      <c r="H343" s="7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7"/>
      <c r="H344" s="7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7"/>
      <c r="H345" s="7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7"/>
      <c r="H346" s="7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7"/>
      <c r="H347" s="7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7"/>
      <c r="H348" s="7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7"/>
      <c r="H349" s="7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7"/>
      <c r="H350" s="7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7"/>
      <c r="H351" s="7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7"/>
      <c r="H352" s="7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7"/>
      <c r="H353" s="7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7"/>
      <c r="H354" s="7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7"/>
      <c r="H355" s="7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7"/>
      <c r="H356" s="7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7"/>
      <c r="H357" s="7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7"/>
      <c r="H358" s="7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7"/>
      <c r="H359" s="7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7"/>
      <c r="H360" s="7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7"/>
      <c r="H361" s="7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7"/>
      <c r="H362" s="7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7"/>
      <c r="H363" s="7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7"/>
      <c r="H364" s="7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7"/>
      <c r="H365" s="7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7"/>
      <c r="H366" s="7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7"/>
      <c r="H367" s="7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7"/>
      <c r="H368" s="7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7"/>
      <c r="H369" s="7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7"/>
      <c r="H370" s="7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7"/>
      <c r="H371" s="7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7"/>
      <c r="H372" s="7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7"/>
      <c r="H373" s="7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7"/>
      <c r="H374" s="7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7"/>
      <c r="H375" s="7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7"/>
      <c r="H376" s="7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7"/>
      <c r="H377" s="7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7"/>
      <c r="H378" s="7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7"/>
      <c r="H379" s="7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7"/>
      <c r="H380" s="7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7"/>
      <c r="H381" s="7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7"/>
      <c r="H382" s="7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7"/>
      <c r="H383" s="7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7"/>
      <c r="H384" s="7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7"/>
      <c r="H385" s="7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7"/>
      <c r="H386" s="7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7"/>
      <c r="H387" s="7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7"/>
      <c r="H388" s="7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7"/>
      <c r="H389" s="7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7"/>
      <c r="H390" s="7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7"/>
      <c r="H391" s="7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7"/>
      <c r="H392" s="7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7"/>
      <c r="H393" s="7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7"/>
      <c r="H394" s="7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7"/>
      <c r="H395" s="7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7"/>
      <c r="H396" s="7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7"/>
      <c r="H397" s="7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7"/>
      <c r="H398" s="7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7"/>
      <c r="H399" s="7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7"/>
      <c r="H400" s="7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7"/>
      <c r="H401" s="7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7"/>
      <c r="H402" s="7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7"/>
      <c r="H403" s="7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7"/>
      <c r="H404" s="7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7"/>
      <c r="H405" s="7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7"/>
      <c r="H406" s="7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7"/>
      <c r="H407" s="7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7"/>
      <c r="H408" s="7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7"/>
      <c r="H409" s="7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7"/>
      <c r="H410" s="7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7"/>
      <c r="H411" s="7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7"/>
      <c r="H412" s="7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7"/>
      <c r="H413" s="7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7"/>
      <c r="H414" s="7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7"/>
      <c r="H415" s="7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7"/>
      <c r="H416" s="7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7"/>
      <c r="H417" s="7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7"/>
      <c r="H418" s="7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7"/>
      <c r="H419" s="7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7"/>
      <c r="H420" s="7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7"/>
      <c r="H421" s="7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7"/>
      <c r="H422" s="7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7"/>
      <c r="H423" s="7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7"/>
      <c r="H424" s="7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7"/>
      <c r="H425" s="7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7"/>
      <c r="H426" s="7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7"/>
      <c r="H427" s="7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7"/>
      <c r="H428" s="7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7"/>
      <c r="H429" s="7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7"/>
      <c r="H430" s="7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7"/>
      <c r="H431" s="7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7"/>
      <c r="H432" s="7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7"/>
      <c r="H433" s="7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7"/>
      <c r="H434" s="7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7"/>
      <c r="H435" s="7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7"/>
      <c r="H436" s="7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7"/>
      <c r="H437" s="7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7"/>
      <c r="H438" s="7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7"/>
      <c r="H439" s="7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7"/>
      <c r="H440" s="7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7"/>
      <c r="H441" s="7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7"/>
      <c r="H442" s="7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7"/>
      <c r="H443" s="7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7"/>
      <c r="H444" s="7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7"/>
      <c r="H445" s="7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7"/>
      <c r="H446" s="7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7"/>
      <c r="H447" s="7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7"/>
      <c r="H448" s="7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7"/>
      <c r="H449" s="7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7"/>
      <c r="H450" s="7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7"/>
      <c r="H451" s="7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7"/>
      <c r="H452" s="7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7"/>
      <c r="H453" s="7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7"/>
      <c r="H454" s="7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7"/>
      <c r="H455" s="7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7"/>
      <c r="H456" s="7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7"/>
      <c r="H457" s="7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7"/>
      <c r="H458" s="7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7"/>
      <c r="H459" s="7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7"/>
      <c r="H460" s="7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7"/>
      <c r="H461" s="7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7"/>
      <c r="H462" s="7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7"/>
      <c r="H463" s="7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7"/>
      <c r="H464" s="7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7"/>
      <c r="H465" s="7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7"/>
      <c r="H466" s="7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7"/>
      <c r="H467" s="7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7"/>
      <c r="H468" s="7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7"/>
      <c r="H469" s="7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7"/>
      <c r="H470" s="7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7"/>
      <c r="H471" s="7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7"/>
      <c r="H472" s="7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7"/>
      <c r="H473" s="7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7"/>
      <c r="H474" s="7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7"/>
      <c r="H475" s="7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7"/>
      <c r="H476" s="7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7"/>
      <c r="H477" s="7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7"/>
      <c r="H478" s="7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7"/>
      <c r="H479" s="7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7"/>
      <c r="H480" s="7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7"/>
      <c r="H481" s="7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7"/>
      <c r="H482" s="7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7"/>
      <c r="H483" s="7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7"/>
      <c r="H484" s="7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7"/>
      <c r="H485" s="7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7"/>
      <c r="H486" s="7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7"/>
      <c r="H487" s="7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7"/>
      <c r="H488" s="7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7"/>
      <c r="H489" s="7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7"/>
      <c r="H490" s="7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7"/>
      <c r="H491" s="7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7"/>
      <c r="H492" s="7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7"/>
      <c r="H493" s="7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7"/>
      <c r="H494" s="7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7"/>
      <c r="H495" s="7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7"/>
      <c r="H496" s="7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7"/>
      <c r="H497" s="7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7"/>
      <c r="H498" s="7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7"/>
      <c r="H499" s="7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7"/>
      <c r="H500" s="7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7"/>
      <c r="H501" s="7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7"/>
      <c r="H502" s="7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7"/>
      <c r="H503" s="7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7"/>
      <c r="H504" s="7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7"/>
      <c r="H505" s="7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7"/>
      <c r="H506" s="7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7"/>
      <c r="H507" s="7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7"/>
      <c r="H508" s="7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7"/>
      <c r="H509" s="7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7"/>
      <c r="H510" s="7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7"/>
      <c r="H511" s="7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7"/>
      <c r="H512" s="7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7"/>
      <c r="H513" s="7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7"/>
      <c r="H514" s="7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7"/>
      <c r="H515" s="7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7"/>
      <c r="H516" s="7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7"/>
      <c r="H517" s="7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7"/>
      <c r="H518" s="7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7"/>
      <c r="H519" s="7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7"/>
      <c r="H520" s="7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7"/>
      <c r="H521" s="7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7"/>
      <c r="H522" s="7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7"/>
      <c r="H523" s="7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7"/>
      <c r="H524" s="7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7"/>
      <c r="H525" s="7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7"/>
      <c r="H526" s="7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7"/>
      <c r="H527" s="7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7"/>
      <c r="H528" s="7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7"/>
      <c r="H529" s="7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7"/>
      <c r="H530" s="7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7"/>
      <c r="H531" s="7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7"/>
      <c r="H532" s="7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7"/>
      <c r="H533" s="7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7"/>
      <c r="H534" s="7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7"/>
      <c r="H535" s="7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7"/>
      <c r="H536" s="7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7"/>
      <c r="H537" s="7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7"/>
      <c r="H538" s="7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7"/>
      <c r="H539" s="7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7"/>
      <c r="H540" s="7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7"/>
      <c r="H541" s="7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7"/>
      <c r="H542" s="7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7"/>
      <c r="H543" s="7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7"/>
      <c r="H544" s="7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7"/>
      <c r="H545" s="7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7"/>
      <c r="H546" s="7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7"/>
      <c r="H547" s="7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7"/>
      <c r="H548" s="7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7"/>
      <c r="H549" s="7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7"/>
      <c r="H550" s="7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7"/>
      <c r="H551" s="7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7"/>
      <c r="H552" s="7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7"/>
      <c r="H553" s="7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7"/>
      <c r="H554" s="7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7"/>
      <c r="H555" s="7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7"/>
      <c r="H556" s="7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7"/>
      <c r="H557" s="7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7"/>
      <c r="H558" s="7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7"/>
      <c r="H559" s="7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7"/>
      <c r="H560" s="7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7"/>
      <c r="H561" s="7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7"/>
      <c r="H562" s="7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7"/>
      <c r="H563" s="7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7"/>
      <c r="H564" s="7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7"/>
      <c r="H565" s="7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7"/>
      <c r="H566" s="7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7"/>
      <c r="H567" s="7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7"/>
      <c r="H568" s="7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7"/>
      <c r="H569" s="7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7"/>
      <c r="H570" s="7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7"/>
      <c r="H571" s="7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7"/>
      <c r="H572" s="7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7"/>
      <c r="H573" s="7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7"/>
      <c r="H574" s="7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7"/>
      <c r="H575" s="7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7"/>
      <c r="H576" s="7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7"/>
      <c r="H577" s="7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7"/>
      <c r="H578" s="7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7"/>
      <c r="H579" s="7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7"/>
      <c r="H580" s="7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7"/>
      <c r="H581" s="7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7"/>
      <c r="H582" s="7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7"/>
      <c r="H583" s="7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7"/>
      <c r="H584" s="7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7"/>
      <c r="H585" s="7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7"/>
      <c r="H586" s="7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7"/>
      <c r="H587" s="7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7"/>
      <c r="H588" s="7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7"/>
      <c r="H589" s="7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7"/>
      <c r="H590" s="7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7"/>
      <c r="H591" s="7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7"/>
      <c r="H592" s="7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7"/>
      <c r="H593" s="7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7"/>
      <c r="H594" s="7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7"/>
      <c r="H595" s="7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7"/>
      <c r="H596" s="7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7"/>
      <c r="H597" s="7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7"/>
      <c r="H598" s="7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7"/>
      <c r="H599" s="7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7"/>
      <c r="H600" s="7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7"/>
      <c r="H601" s="7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7"/>
      <c r="H602" s="7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7"/>
      <c r="H603" s="7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7"/>
      <c r="H604" s="7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7"/>
      <c r="H605" s="7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7"/>
      <c r="H606" s="7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7"/>
      <c r="H607" s="7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7"/>
      <c r="H608" s="7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7"/>
      <c r="H609" s="7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7"/>
      <c r="H610" s="7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7"/>
      <c r="H611" s="7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7"/>
      <c r="H612" s="7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7"/>
      <c r="H613" s="7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7"/>
      <c r="H614" s="7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7"/>
      <c r="H615" s="7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7"/>
      <c r="H616" s="7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7"/>
      <c r="H617" s="7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7"/>
      <c r="H618" s="7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7"/>
      <c r="H619" s="7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7"/>
      <c r="H620" s="7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7"/>
      <c r="H621" s="7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7"/>
      <c r="H622" s="7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7"/>
      <c r="H623" s="7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7"/>
      <c r="H624" s="7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7"/>
      <c r="H625" s="7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7"/>
      <c r="H626" s="7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7"/>
      <c r="H627" s="7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7"/>
      <c r="H628" s="7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7"/>
      <c r="H629" s="7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7"/>
      <c r="H630" s="7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7"/>
      <c r="H631" s="7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7"/>
      <c r="H632" s="7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7"/>
      <c r="H633" s="7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7"/>
      <c r="H634" s="7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7"/>
      <c r="H635" s="7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7"/>
      <c r="H636" s="7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7"/>
      <c r="H637" s="7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7"/>
      <c r="H638" s="7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7"/>
      <c r="H639" s="7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7"/>
      <c r="H640" s="7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7"/>
      <c r="H641" s="7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7"/>
      <c r="H642" s="7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7"/>
      <c r="H643" s="7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7"/>
      <c r="H644" s="7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7"/>
      <c r="H645" s="7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7"/>
      <c r="H646" s="7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7"/>
      <c r="H647" s="7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7"/>
      <c r="H648" s="7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7"/>
      <c r="H649" s="7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7"/>
      <c r="H650" s="7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7"/>
      <c r="H651" s="7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7"/>
      <c r="H652" s="7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7"/>
      <c r="H653" s="7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7"/>
      <c r="H654" s="7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7"/>
      <c r="H655" s="7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7"/>
      <c r="H656" s="7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7"/>
      <c r="H657" s="7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7"/>
      <c r="H658" s="7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7"/>
      <c r="H659" s="7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7"/>
      <c r="H660" s="7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7"/>
      <c r="H661" s="7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7"/>
      <c r="H662" s="7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7"/>
      <c r="H663" s="7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7"/>
      <c r="H664" s="7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7"/>
      <c r="H665" s="7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7"/>
      <c r="H666" s="7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7"/>
      <c r="H667" s="7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7"/>
      <c r="H668" s="7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7"/>
      <c r="H669" s="7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7"/>
      <c r="H670" s="7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7"/>
      <c r="H671" s="7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7"/>
      <c r="H672" s="7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7"/>
      <c r="H673" s="7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7"/>
      <c r="H674" s="7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7"/>
      <c r="H675" s="7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7"/>
      <c r="H676" s="7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7"/>
      <c r="H677" s="7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7"/>
      <c r="H678" s="7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7"/>
      <c r="H679" s="7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7"/>
      <c r="H680" s="7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7"/>
      <c r="H681" s="7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7"/>
      <c r="H682" s="7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7"/>
      <c r="H683" s="7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7"/>
      <c r="H684" s="7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7"/>
      <c r="H685" s="7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7"/>
      <c r="H686" s="7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7"/>
      <c r="H687" s="7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7"/>
      <c r="H688" s="7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7"/>
      <c r="H689" s="7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7"/>
      <c r="H690" s="7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7"/>
      <c r="H691" s="7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7"/>
      <c r="H692" s="7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7"/>
      <c r="H693" s="7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7"/>
      <c r="H694" s="7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7"/>
      <c r="H695" s="7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7"/>
      <c r="H696" s="7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7"/>
      <c r="H697" s="7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7"/>
      <c r="H698" s="7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7"/>
      <c r="H699" s="7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7"/>
      <c r="H700" s="7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7"/>
      <c r="H701" s="7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7"/>
      <c r="H702" s="7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7"/>
      <c r="H703" s="7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7"/>
      <c r="H704" s="7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7"/>
      <c r="H705" s="7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7"/>
      <c r="H706" s="7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7"/>
      <c r="H707" s="7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7"/>
      <c r="H708" s="7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7"/>
      <c r="H709" s="7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7"/>
      <c r="H710" s="7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7"/>
      <c r="H711" s="7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7"/>
      <c r="H712" s="7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7"/>
      <c r="H713" s="7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7"/>
      <c r="H714" s="7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7"/>
      <c r="H715" s="7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7"/>
      <c r="H716" s="7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7"/>
      <c r="H717" s="7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7"/>
      <c r="H718" s="7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7"/>
      <c r="H719" s="7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7"/>
      <c r="H720" s="7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7"/>
      <c r="H721" s="7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7"/>
      <c r="H722" s="7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7"/>
      <c r="H723" s="7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7"/>
      <c r="H724" s="7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7"/>
      <c r="H725" s="7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7"/>
      <c r="H726" s="7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7"/>
      <c r="H727" s="7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7"/>
      <c r="H728" s="7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7"/>
      <c r="H729" s="7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7"/>
      <c r="H730" s="7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7"/>
      <c r="H731" s="7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7"/>
      <c r="H732" s="7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7"/>
      <c r="H733" s="7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7"/>
      <c r="H734" s="7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7"/>
      <c r="H735" s="7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7"/>
      <c r="H736" s="7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7"/>
      <c r="H737" s="7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7"/>
      <c r="H738" s="7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7"/>
      <c r="H739" s="7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7"/>
      <c r="H740" s="7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7"/>
      <c r="H741" s="7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7"/>
      <c r="H742" s="7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7"/>
      <c r="H743" s="7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7"/>
      <c r="H744" s="7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7"/>
      <c r="H745" s="7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7"/>
      <c r="H746" s="7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7"/>
      <c r="H747" s="7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7"/>
      <c r="H748" s="7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7"/>
      <c r="H749" s="7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7"/>
      <c r="H750" s="7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7"/>
      <c r="H751" s="7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7"/>
      <c r="H752" s="7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7"/>
      <c r="H753" s="7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7"/>
      <c r="H754" s="7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7"/>
      <c r="H755" s="7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7"/>
      <c r="H756" s="7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7"/>
      <c r="H757" s="7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7"/>
      <c r="H758" s="7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7"/>
      <c r="H759" s="7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7"/>
      <c r="H760" s="7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7"/>
      <c r="H761" s="7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7"/>
      <c r="H762" s="7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7"/>
      <c r="H763" s="7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7"/>
      <c r="H764" s="7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7"/>
      <c r="H765" s="7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7"/>
      <c r="H766" s="7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7"/>
      <c r="H767" s="7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7"/>
      <c r="H768" s="7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7"/>
      <c r="H769" s="7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7"/>
      <c r="H770" s="7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7"/>
      <c r="H771" s="7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7"/>
      <c r="H772" s="7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7"/>
      <c r="H773" s="7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7"/>
      <c r="H774" s="7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7"/>
      <c r="H775" s="7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7"/>
      <c r="H776" s="7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7"/>
      <c r="H777" s="7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7"/>
      <c r="H778" s="7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7"/>
      <c r="H779" s="7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7"/>
      <c r="H780" s="7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7"/>
      <c r="H781" s="7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7"/>
      <c r="H782" s="7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7"/>
      <c r="H783" s="7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7"/>
      <c r="H784" s="7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7"/>
      <c r="H785" s="7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7"/>
      <c r="H786" s="7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7"/>
      <c r="H787" s="7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7"/>
      <c r="H788" s="7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7"/>
      <c r="H789" s="7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7"/>
      <c r="H790" s="7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7"/>
      <c r="H791" s="7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7"/>
      <c r="H792" s="7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7"/>
      <c r="H793" s="7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7"/>
      <c r="H794" s="7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7"/>
      <c r="H795" s="7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7"/>
      <c r="H796" s="7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7"/>
      <c r="H797" s="7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7"/>
      <c r="H798" s="7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7"/>
      <c r="H799" s="7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7"/>
      <c r="H800" s="7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7"/>
      <c r="H801" s="7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7"/>
      <c r="H802" s="7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7"/>
      <c r="H803" s="7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7"/>
      <c r="H804" s="7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7"/>
      <c r="H805" s="7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7"/>
      <c r="H806" s="7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7"/>
      <c r="H807" s="7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7"/>
      <c r="H808" s="7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7"/>
      <c r="H809" s="7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7"/>
      <c r="H810" s="7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7"/>
      <c r="H811" s="7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7"/>
      <c r="H812" s="7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7"/>
      <c r="H813" s="7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7"/>
      <c r="H814" s="7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7"/>
      <c r="H815" s="7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7"/>
      <c r="H816" s="7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7"/>
      <c r="H817" s="7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7"/>
      <c r="H818" s="7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7"/>
      <c r="H819" s="7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7"/>
      <c r="H820" s="7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7"/>
      <c r="H821" s="7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7"/>
      <c r="H822" s="7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7"/>
      <c r="H823" s="7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7"/>
      <c r="H824" s="7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7"/>
      <c r="H825" s="7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7"/>
      <c r="H826" s="7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7"/>
      <c r="H827" s="7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7"/>
      <c r="H828" s="7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7"/>
      <c r="H829" s="7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7"/>
      <c r="H830" s="7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7"/>
      <c r="H831" s="7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7"/>
      <c r="H832" s="7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7"/>
      <c r="H833" s="7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7"/>
      <c r="H834" s="7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7"/>
      <c r="H835" s="7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7"/>
      <c r="H836" s="7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7"/>
      <c r="H837" s="7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7"/>
      <c r="H838" s="7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7"/>
      <c r="H839" s="7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7"/>
      <c r="H840" s="7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7"/>
      <c r="H841" s="7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7"/>
      <c r="H842" s="7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7"/>
      <c r="H843" s="7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7"/>
      <c r="H844" s="7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7"/>
      <c r="H845" s="7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7"/>
      <c r="H846" s="7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7"/>
      <c r="H847" s="7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7"/>
      <c r="H848" s="7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7"/>
      <c r="H849" s="7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7"/>
      <c r="H850" s="7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7"/>
      <c r="H851" s="7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7"/>
      <c r="H852" s="7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7"/>
      <c r="H853" s="7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7"/>
      <c r="H854" s="7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7"/>
      <c r="H855" s="7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7"/>
      <c r="H856" s="7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7"/>
      <c r="H857" s="7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7"/>
      <c r="H858" s="7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7"/>
      <c r="H859" s="7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7"/>
      <c r="H860" s="7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7"/>
      <c r="H861" s="7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7"/>
      <c r="H862" s="7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7"/>
      <c r="H863" s="7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7"/>
      <c r="H864" s="7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7"/>
      <c r="H865" s="7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7"/>
      <c r="H866" s="7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7"/>
      <c r="H867" s="7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7"/>
      <c r="H868" s="7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7"/>
      <c r="H869" s="7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7"/>
      <c r="H870" s="7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7"/>
      <c r="H871" s="7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7"/>
      <c r="H872" s="7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7"/>
      <c r="H873" s="7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7"/>
      <c r="H874" s="7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7"/>
      <c r="H875" s="7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7"/>
      <c r="H876" s="7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7"/>
      <c r="H877" s="7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7"/>
      <c r="H878" s="7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7"/>
      <c r="H879" s="7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7"/>
      <c r="H880" s="7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7"/>
      <c r="H881" s="7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7"/>
      <c r="H882" s="7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7"/>
      <c r="H883" s="7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7"/>
      <c r="H884" s="7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7"/>
      <c r="H885" s="7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7"/>
      <c r="H886" s="7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7"/>
      <c r="H887" s="7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7"/>
      <c r="H888" s="7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7"/>
      <c r="H889" s="7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7"/>
      <c r="H890" s="7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7"/>
      <c r="H891" s="7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7"/>
      <c r="H892" s="7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7"/>
      <c r="H893" s="7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7"/>
      <c r="H894" s="7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7"/>
      <c r="H895" s="7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7"/>
      <c r="H896" s="7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7"/>
      <c r="H897" s="7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7"/>
      <c r="H898" s="7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7"/>
      <c r="H899" s="7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7"/>
      <c r="H900" s="7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7"/>
      <c r="H901" s="7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7"/>
      <c r="H902" s="7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7"/>
      <c r="H903" s="7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7"/>
      <c r="H904" s="7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7"/>
      <c r="H905" s="7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7"/>
      <c r="H906" s="7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7"/>
      <c r="H907" s="7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7"/>
      <c r="H908" s="7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7"/>
      <c r="H909" s="7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7"/>
      <c r="H910" s="7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7"/>
      <c r="H911" s="7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7"/>
      <c r="H912" s="7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7"/>
      <c r="H913" s="7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7"/>
      <c r="H914" s="7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7"/>
      <c r="H915" s="7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7"/>
      <c r="H916" s="7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7"/>
      <c r="H917" s="7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7"/>
      <c r="H918" s="7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7"/>
      <c r="H919" s="7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7"/>
      <c r="H920" s="7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7"/>
      <c r="H921" s="7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7"/>
      <c r="H922" s="7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7"/>
      <c r="H923" s="7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7"/>
      <c r="H924" s="7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7"/>
      <c r="H925" s="7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7"/>
      <c r="H926" s="7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7"/>
      <c r="H927" s="7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7"/>
      <c r="H928" s="7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7"/>
      <c r="H929" s="7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7"/>
      <c r="H930" s="7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7"/>
      <c r="H931" s="7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7"/>
      <c r="H932" s="7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7"/>
      <c r="H933" s="7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7"/>
      <c r="H934" s="7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7"/>
      <c r="H935" s="7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7"/>
      <c r="H936" s="7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7"/>
      <c r="H937" s="7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7"/>
      <c r="H938" s="7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7"/>
      <c r="H939" s="7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7"/>
      <c r="H940" s="7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7"/>
      <c r="H941" s="7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7"/>
      <c r="H942" s="7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7"/>
      <c r="H943" s="7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7"/>
      <c r="H944" s="7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7"/>
      <c r="H945" s="7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7"/>
      <c r="H946" s="7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7"/>
      <c r="H947" s="7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7"/>
      <c r="H948" s="7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7"/>
      <c r="H949" s="7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7"/>
      <c r="H950" s="7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7"/>
      <c r="H951" s="7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7"/>
      <c r="H952" s="7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7"/>
      <c r="H953" s="7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7"/>
      <c r="H954" s="7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7"/>
      <c r="H955" s="7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7"/>
      <c r="H956" s="7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7"/>
      <c r="H957" s="7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7"/>
      <c r="H958" s="7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7"/>
      <c r="H959" s="7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7"/>
      <c r="H960" s="7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7"/>
      <c r="H961" s="7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7"/>
      <c r="H962" s="7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7"/>
      <c r="H963" s="7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7"/>
      <c r="H964" s="7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7"/>
      <c r="H965" s="7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7"/>
      <c r="H966" s="7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7"/>
      <c r="H967" s="7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7"/>
      <c r="H968" s="7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7"/>
      <c r="H969" s="7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7"/>
      <c r="H970" s="7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7"/>
      <c r="H971" s="7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7"/>
      <c r="H972" s="7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7"/>
      <c r="H973" s="7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7"/>
      <c r="H974" s="7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7"/>
      <c r="H975" s="7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7"/>
      <c r="H976" s="7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7"/>
      <c r="H977" s="7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7"/>
      <c r="H978" s="7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7"/>
      <c r="H979" s="7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7"/>
      <c r="H980" s="7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7"/>
      <c r="H981" s="7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7"/>
      <c r="H982" s="7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7"/>
      <c r="H983" s="7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7"/>
      <c r="H984" s="7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7"/>
      <c r="H985" s="7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7"/>
      <c r="H986" s="7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7"/>
      <c r="H987" s="7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7"/>
      <c r="H988" s="7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7"/>
      <c r="H989" s="7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7"/>
      <c r="H990" s="7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7"/>
      <c r="H991" s="7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7"/>
      <c r="H992" s="7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7"/>
      <c r="H993" s="7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7"/>
      <c r="H994" s="7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7"/>
      <c r="H995" s="7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7"/>
      <c r="H996" s="7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7"/>
      <c r="H997" s="7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7"/>
      <c r="H998" s="7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7"/>
      <c r="H999" s="7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7"/>
      <c r="H1000" s="7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drawing r:id="rId1"/>
</worksheet>
</file>